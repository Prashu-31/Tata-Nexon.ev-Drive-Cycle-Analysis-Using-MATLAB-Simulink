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Prashanth\Downloads\"/>
    </mc:Choice>
  </mc:AlternateContent>
  <xr:revisionPtr revIDLastSave="0" documentId="13_ncr:1_{E5001E44-FA1F-4762-9A66-8CF8406FA47D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" l="1"/>
  <c r="G2" i="1" s="1"/>
  <c r="E3" i="1"/>
  <c r="G3" i="1" s="1"/>
  <c r="E4" i="1"/>
  <c r="G4" i="1" s="1"/>
  <c r="E5" i="1"/>
  <c r="G5" i="1" s="1"/>
  <c r="E6" i="1"/>
  <c r="G6" i="1" s="1"/>
  <c r="F3" i="1"/>
  <c r="F4" i="1"/>
  <c r="F5" i="1"/>
  <c r="F6" i="1"/>
  <c r="F7" i="1"/>
  <c r="F8" i="1"/>
  <c r="F2" i="1"/>
  <c r="I3" i="1"/>
  <c r="I4" i="1"/>
  <c r="I5" i="1"/>
  <c r="I6" i="1"/>
  <c r="I7" i="1"/>
  <c r="I8" i="1"/>
  <c r="I2" i="1"/>
  <c r="G7" i="1"/>
  <c r="G8" i="1"/>
  <c r="D3" i="1"/>
  <c r="D4" i="1"/>
  <c r="D5" i="1"/>
  <c r="D6" i="1"/>
  <c r="D7" i="1"/>
  <c r="E7" i="1" s="1"/>
  <c r="D2" i="1"/>
  <c r="C8" i="1"/>
  <c r="D8" i="1" s="1"/>
  <c r="E8" i="1" s="1"/>
  <c r="B3" i="1"/>
  <c r="B4" i="1"/>
  <c r="B5" i="1"/>
  <c r="B6" i="1"/>
  <c r="B7" i="1"/>
  <c r="B2" i="1"/>
</calcChain>
</file>

<file path=xl/sharedStrings.xml><?xml version="1.0" encoding="utf-8"?>
<sst xmlns="http://schemas.openxmlformats.org/spreadsheetml/2006/main" count="10" uniqueCount="10">
  <si>
    <t>Time in Min</t>
  </si>
  <si>
    <t>Velocity in Kmph</t>
  </si>
  <si>
    <t>Velocity in mps</t>
  </si>
  <si>
    <t>Acceleration in mps^2</t>
  </si>
  <si>
    <t>Time in Sec</t>
  </si>
  <si>
    <t>Avg</t>
  </si>
  <si>
    <t>Fdrag in N</t>
  </si>
  <si>
    <t>Facc in N</t>
  </si>
  <si>
    <t>Fgrade in N</t>
  </si>
  <si>
    <t>Froll in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</si>
</sst>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/>
    <xf numFmtId="0" fontId="1" fillId="3" borderId="1" xfId="0" applyFont="1" applyFill="1" applyBorder="1"/>
    <xf numFmtId="0" fontId="2" fillId="3" borderId="1" xfId="0" applyFont="1" applyFill="1" applyBorder="1"/>
    <xf numFmtId="0" fontId="0" fillId="3" borderId="1" xfId="0" applyFill="1" applyBorder="1"/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V</a:t>
            </a:r>
            <a:r>
              <a:rPr lang="en-IN" baseline="0"/>
              <a:t> v/s T Graph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Sheet1!$B$2:$B$7</c:f>
              <c:numCache>
                <c:formatCode>General</c:formatCode>
                <c:ptCount val="6"/>
                <c:pt idx="0">
                  <c:v>60</c:v>
                </c:pt>
                <c:pt idx="1">
                  <c:v>120</c:v>
                </c:pt>
                <c:pt idx="2">
                  <c:v>180</c:v>
                </c:pt>
                <c:pt idx="3">
                  <c:v>240</c:v>
                </c:pt>
                <c:pt idx="4">
                  <c:v>300</c:v>
                </c:pt>
                <c:pt idx="5">
                  <c:v>360</c:v>
                </c:pt>
              </c:numCache>
            </c:numRef>
          </c:cat>
          <c:val>
            <c:numRef>
              <c:f>Sheet1!$D$2:$D$7</c:f>
              <c:numCache>
                <c:formatCode>General</c:formatCode>
                <c:ptCount val="6"/>
                <c:pt idx="0">
                  <c:v>1.6666666666666665</c:v>
                </c:pt>
                <c:pt idx="1">
                  <c:v>5.5555555555555554</c:v>
                </c:pt>
                <c:pt idx="2">
                  <c:v>8.0555555555555554</c:v>
                </c:pt>
                <c:pt idx="3">
                  <c:v>13.888888888888889</c:v>
                </c:pt>
                <c:pt idx="4">
                  <c:v>8.6111111111111107</c:v>
                </c:pt>
                <c:pt idx="5">
                  <c:v>2.2222222222222223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8A0-40E7-94BC-D641F676B6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7052095"/>
        <c:axId val="140894639"/>
      </c:lineChart>
      <c:catAx>
        <c:axId val="297052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894639"/>
        <c:crosses val="autoZero"/>
        <c:auto val="1"/>
        <c:lblAlgn val="ctr"/>
        <c:lblOffset val="100"/>
        <c:noMultiLvlLbl val="0"/>
      </c:catAx>
      <c:valAx>
        <c:axId val="140894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052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368300</xdr:colOff>
      <xdr:row>9</xdr:row>
      <xdr:rowOff>95250</xdr:rowOff>
    </xdr:from>
    <xdr:to>
      <xdr:col>6</xdr:col>
      <xdr:colOff>825500</xdr:colOff>
      <xdr:row>27</xdr:row>
      <xdr:rowOff>25400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6EFC02B-A6E5-1A5A-F2A0-3BDCEF7EFD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>
      <selection activeCell="I13" sqref="I13"/>
    </sheetView>
  </sheetViews>
  <sheetFormatPr defaultRowHeight="14.5" x14ac:dyDescent="0.35"/>
  <cols>
    <col min="1" max="1" width="13.26953125" customWidth="1"/>
    <col min="2" max="2" width="12.90625" customWidth="1"/>
    <col min="3" max="3" width="17.453125" customWidth="1"/>
    <col min="4" max="4" width="16.81640625" customWidth="1"/>
    <col min="5" max="5" width="21.453125" customWidth="1"/>
    <col min="6" max="6" width="14.90625" customWidth="1"/>
    <col min="7" max="7" width="13.81640625" customWidth="1"/>
    <col min="8" max="8" width="15.54296875" customWidth="1"/>
    <col min="9" max="9" width="15.36328125" customWidth="1"/>
  </cols>
  <sheetData>
    <row r="1" spans="1:9" x14ac:dyDescent="0.35">
      <c r="A1" s="1" t="s">
        <v>0</v>
      </c>
      <c r="B1" s="1" t="s">
        <v>4</v>
      </c>
      <c r="C1" s="1" t="s">
        <v>1</v>
      </c>
      <c r="D1" s="1" t="s">
        <v>2</v>
      </c>
      <c r="E1" s="1" t="s">
        <v>3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x14ac:dyDescent="0.35">
      <c r="A2" s="2">
        <v>1</v>
      </c>
      <c r="B2" s="2">
        <f t="shared" ref="B2:B7" si="0">60*A2</f>
        <v>60</v>
      </c>
      <c r="C2" s="2">
        <v>6</v>
      </c>
      <c r="D2" s="2">
        <f t="shared" ref="D2:D8" si="1">C2/3.6</f>
        <v>1.6666666666666665</v>
      </c>
      <c r="E2" s="2">
        <f>D2/60</f>
        <v>2.7777777777777776E-2</v>
      </c>
      <c r="F2" s="4">
        <f>1.225*0.29*2.35*0.5*(D2*D2)</f>
        <v>1.1594965277777776</v>
      </c>
      <c r="G2" s="4">
        <f>1400*E2</f>
        <v>38.888888888888886</v>
      </c>
      <c r="H2" s="4">
        <v>0</v>
      </c>
      <c r="I2" s="4">
        <f>0.011*9.8*1400</f>
        <v>150.92000000000002</v>
      </c>
    </row>
    <row r="3" spans="1:9" x14ac:dyDescent="0.35">
      <c r="A3" s="2">
        <v>2</v>
      </c>
      <c r="B3" s="2">
        <f t="shared" si="0"/>
        <v>120</v>
      </c>
      <c r="C3" s="2">
        <v>20</v>
      </c>
      <c r="D3" s="2">
        <f t="shared" si="1"/>
        <v>5.5555555555555554</v>
      </c>
      <c r="E3" s="2">
        <f t="shared" ref="E3:E8" si="2">D3/60</f>
        <v>9.2592592592592587E-2</v>
      </c>
      <c r="F3" s="4">
        <f t="shared" ref="F3:F8" si="3">1.225*0.29*2.35*0.5*(D3*D3)</f>
        <v>12.883294753086419</v>
      </c>
      <c r="G3" s="4">
        <f t="shared" ref="G3:G8" si="4">1400*E3</f>
        <v>129.62962962962962</v>
      </c>
      <c r="H3" s="4">
        <v>0</v>
      </c>
      <c r="I3" s="4">
        <f t="shared" ref="I3:I8" si="5">0.011*9.8*1400</f>
        <v>150.92000000000002</v>
      </c>
    </row>
    <row r="4" spans="1:9" x14ac:dyDescent="0.35">
      <c r="A4" s="2">
        <v>3</v>
      </c>
      <c r="B4" s="2">
        <f t="shared" si="0"/>
        <v>180</v>
      </c>
      <c r="C4" s="2">
        <v>29</v>
      </c>
      <c r="D4" s="2">
        <f t="shared" si="1"/>
        <v>8.0555555555555554</v>
      </c>
      <c r="E4" s="2">
        <f t="shared" si="2"/>
        <v>0.13425925925925924</v>
      </c>
      <c r="F4" s="4">
        <f t="shared" si="3"/>
        <v>27.087127218364198</v>
      </c>
      <c r="G4" s="4">
        <f t="shared" si="4"/>
        <v>187.96296296296293</v>
      </c>
      <c r="H4" s="4">
        <v>0</v>
      </c>
      <c r="I4" s="4">
        <f t="shared" si="5"/>
        <v>150.92000000000002</v>
      </c>
    </row>
    <row r="5" spans="1:9" x14ac:dyDescent="0.35">
      <c r="A5" s="2">
        <v>4</v>
      </c>
      <c r="B5" s="2">
        <f t="shared" si="0"/>
        <v>240</v>
      </c>
      <c r="C5" s="2">
        <v>50</v>
      </c>
      <c r="D5" s="2">
        <f t="shared" si="1"/>
        <v>13.888888888888889</v>
      </c>
      <c r="E5" s="2">
        <f t="shared" si="2"/>
        <v>0.23148148148148148</v>
      </c>
      <c r="F5" s="4">
        <f t="shared" si="3"/>
        <v>80.520592206790127</v>
      </c>
      <c r="G5" s="4">
        <f t="shared" si="4"/>
        <v>324.07407407407408</v>
      </c>
      <c r="H5" s="4">
        <v>0</v>
      </c>
      <c r="I5" s="4">
        <f t="shared" si="5"/>
        <v>150.92000000000002</v>
      </c>
    </row>
    <row r="6" spans="1:9" x14ac:dyDescent="0.35">
      <c r="A6" s="2">
        <v>5</v>
      </c>
      <c r="B6" s="2">
        <f t="shared" si="0"/>
        <v>300</v>
      </c>
      <c r="C6" s="2">
        <v>31</v>
      </c>
      <c r="D6" s="2">
        <f t="shared" si="1"/>
        <v>8.6111111111111107</v>
      </c>
      <c r="E6" s="2">
        <f t="shared" si="2"/>
        <v>0.14351851851851852</v>
      </c>
      <c r="F6" s="4">
        <f t="shared" si="3"/>
        <v>30.952115644290121</v>
      </c>
      <c r="G6" s="4">
        <f t="shared" si="4"/>
        <v>200.92592592592592</v>
      </c>
      <c r="H6" s="4">
        <v>0</v>
      </c>
      <c r="I6" s="4">
        <f t="shared" si="5"/>
        <v>150.92000000000002</v>
      </c>
    </row>
    <row r="7" spans="1:9" x14ac:dyDescent="0.35">
      <c r="A7" s="2">
        <v>6</v>
      </c>
      <c r="B7" s="2">
        <f t="shared" si="0"/>
        <v>360</v>
      </c>
      <c r="C7" s="2">
        <v>8</v>
      </c>
      <c r="D7" s="2">
        <f t="shared" si="1"/>
        <v>2.2222222222222223</v>
      </c>
      <c r="E7" s="2">
        <f t="shared" si="2"/>
        <v>3.7037037037037042E-2</v>
      </c>
      <c r="F7" s="4">
        <f t="shared" si="3"/>
        <v>2.0613271604938275</v>
      </c>
      <c r="G7" s="4">
        <f t="shared" si="4"/>
        <v>51.851851851851862</v>
      </c>
      <c r="H7" s="4">
        <v>0</v>
      </c>
      <c r="I7" s="4">
        <f t="shared" si="5"/>
        <v>150.92000000000002</v>
      </c>
    </row>
    <row r="8" spans="1:9" x14ac:dyDescent="0.35">
      <c r="A8" s="3"/>
      <c r="B8" s="3" t="s">
        <v>5</v>
      </c>
      <c r="C8" s="2">
        <f>(C2+C3+C4+C5+C6+C7)/6</f>
        <v>24</v>
      </c>
      <c r="D8" s="2">
        <f t="shared" si="1"/>
        <v>6.6666666666666661</v>
      </c>
      <c r="E8" s="2">
        <f t="shared" si="2"/>
        <v>0.1111111111111111</v>
      </c>
      <c r="F8" s="4">
        <f t="shared" si="3"/>
        <v>18.551944444444441</v>
      </c>
      <c r="G8" s="4">
        <f t="shared" si="4"/>
        <v>155.55555555555554</v>
      </c>
      <c r="H8" s="4">
        <v>0</v>
      </c>
      <c r="I8" s="4">
        <f t="shared" si="5"/>
        <v>150.92000000000002</v>
      </c>
    </row>
    <row r="10" spans="1:9" x14ac:dyDescent="0.35">
      <c r="E10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Prashanth</dc:creator>
  <cp:lastModifiedBy>Prashanth Gowda</cp:lastModifiedBy>
  <dcterms:created xsi:type="dcterms:W3CDTF">2015-06-05T18:17:20Z</dcterms:created>
  <dcterms:modified xsi:type="dcterms:W3CDTF">2026-10-19T16:37:26Z</dcterms:modified>
</cp:coreProperties>
</file>